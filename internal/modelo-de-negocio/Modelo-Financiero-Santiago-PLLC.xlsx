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upuestos" sheetId="2" state="visible" r:id="rId4"/>
    <sheet name="TiposDeCaso" sheetId="3" state="visible" r:id="rId5"/>
    <sheet name="Embudo" sheetId="4" state="visible" r:id="rId6"/>
    <sheet name="Firma" sheetId="5" state="visible" r:id="rId7"/>
    <sheet name="Palancas" sheetId="6" state="visible" r:id="rId8"/>
    <sheet name="Pan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2" authorId="0">
      <text>
        <r>
          <rPr>
            <sz val="10"/>
            <rFont val="Arial"/>
            <family val="2"/>
          </rPr>
          <t xml:space="preserve">Margen por caso ponderado por volumen, no promedio simple.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Esta palanca no cambia el margen por caso: cambia cuántos casos entran. Su efecto está solo en la columna anual.</t>
        </r>
      </text>
    </comment>
  </commentList>
</comments>
</file>

<file path=xl/sharedStrings.xml><?xml version="1.0" encoding="utf-8"?>
<sst xmlns="http://schemas.openxmlformats.org/spreadsheetml/2006/main" count="209" uniqueCount="194">
  <si>
    <t xml:space="preserve">Modelo financiero — Law Offices of Jose R. Santiago, PLLC</t>
  </si>
  <si>
    <t xml:space="preserve">Instrumento del Anexo A del documento de modelo de negocio. Versión 1.0</t>
  </si>
  <si>
    <t xml:space="preserve">Cómo usar este archivo</t>
  </si>
  <si>
    <t xml:space="preserve">1.</t>
  </si>
  <si>
    <t xml:space="preserve">Sustituye los valores de ejemplo por los datos reales de la firma. Los valores precargados vienen del documento de modelo de negocio y son ILUSTRATIVOS: sirven para que el modelo funcione desde el primer momento, no para describir la firma.</t>
  </si>
  <si>
    <t xml:space="preserve">2.</t>
  </si>
  <si>
    <t xml:space="preserve">Escribe únicamente en las celdas con fondo amarillo. Todo lo demás son fórmulas y se recalcula solo.</t>
  </si>
  <si>
    <t xml:space="preserve">3.</t>
  </si>
  <si>
    <t xml:space="preserve">Empieza por las hojas 'Supuestos' y 'TiposDeCaso'. Con esas dos, el resto del modelo ya produce resultados.</t>
  </si>
  <si>
    <t xml:space="preserve">4.</t>
  </si>
  <si>
    <t xml:space="preserve">La hoja 'Palancas' muestra cuánto mueve la utilidad cada cambio operativo. Es la que hay que mirar antes de decidir dónde invertir esfuerzo.</t>
  </si>
  <si>
    <t xml:space="preserve">Código de color</t>
  </si>
  <si>
    <t xml:space="preserve">Fondo amarillo</t>
  </si>
  <si>
    <t xml:space="preserve">Celda que tú rellenas. Es la única que se edita.</t>
  </si>
  <si>
    <t xml:space="preserve">Texto azul</t>
  </si>
  <si>
    <t xml:space="preserve">Dato de entrada escrito a mano.</t>
  </si>
  <si>
    <t xml:space="preserve">Texto negro</t>
  </si>
  <si>
    <t xml:space="preserve">Fórmula. No tocar.</t>
  </si>
  <si>
    <t xml:space="preserve">Texto verde</t>
  </si>
  <si>
    <t xml:space="preserve">Enlace a otra hoja del mismo archivo.</t>
  </si>
  <si>
    <t xml:space="preserve">Las hojas</t>
  </si>
  <si>
    <t xml:space="preserve">Supuestos</t>
  </si>
  <si>
    <t xml:space="preserve">Costos fijos, costo por hora de cada rol, overhead por caso. Los cimientos del modelo.</t>
  </si>
  <si>
    <t xml:space="preserve">TiposDeCaso</t>
  </si>
  <si>
    <t xml:space="preserve">Una fila por tipo de caso: precio, horas de entrega, CAC y volumen. Aquí se ve qué producto sostiene la firma y cuál la subsidia.</t>
  </si>
  <si>
    <t xml:space="preserve">Embudo</t>
  </si>
  <si>
    <t xml:space="preserve">Consultas, consultas atendidas y casos firmados, mes a mes. Calcula la tasa de conversión, que es la palanca de mayor retorno.</t>
  </si>
  <si>
    <t xml:space="preserve">Firma</t>
  </si>
  <si>
    <t xml:space="preserve">El estado de resultados: ingreso, margen de contribución, costos fijos, utilidad y punto de equilibrio.</t>
  </si>
  <si>
    <t xml:space="preserve">Palancas</t>
  </si>
  <si>
    <t xml:space="preserve">Qué pasa con la utilidad si mueves conversión, horas de entrega, precio o CAC. Ordenadas por impacto.</t>
  </si>
  <si>
    <t xml:space="preserve">Panel</t>
  </si>
  <si>
    <t xml:space="preserve">Los cinco números del lunes por la mañana.</t>
  </si>
  <si>
    <t xml:space="preserve">Advertencia</t>
  </si>
  <si>
    <t xml:space="preserve">Este modelo no constituye asesoría legal, fiscal ni contable. El saldo de la cuenta fiduciaria (IOLTA) NO es liquidez de la firma y no debe cargarse en ninguna celda de caja de este archivo: los fondos del cliente no devengados no son ingreso ni activo de la firma.</t>
  </si>
  <si>
    <t xml:space="preserve">Celdas amarillas = rellenar. Valores precargados ilustrativos.</t>
  </si>
  <si>
    <t xml:space="preserve">Concepto</t>
  </si>
  <si>
    <t xml:space="preserve">Valor</t>
  </si>
  <si>
    <t xml:space="preserve">Unidad</t>
  </si>
  <si>
    <t xml:space="preserve">Nota</t>
  </si>
  <si>
    <t xml:space="preserve">Costo cargado por hora — abogado</t>
  </si>
  <si>
    <t xml:space="preserve">$ / hora</t>
  </si>
  <si>
    <t xml:space="preserve">Salario + carga + beneficios ÷ horas trabajadas al año. NO es la tarifa que se cobra.</t>
  </si>
  <si>
    <t xml:space="preserve">Costo cargado por hora — paralegal</t>
  </si>
  <si>
    <t xml:space="preserve">Mismo cálculo para el rol de paralegal.</t>
  </si>
  <si>
    <t xml:space="preserve">Costo cargado por hora — asistente/intake</t>
  </si>
  <si>
    <t xml:space="preserve">Personal de recepción y gestión de expediente.</t>
  </si>
  <si>
    <t xml:space="preserve">Overhead asignado por caso</t>
  </si>
  <si>
    <t xml:space="preserve">$ / caso</t>
  </si>
  <si>
    <t xml:space="preserve">Costos fijos ÷ casos al año. Recalcular cada año.</t>
  </si>
  <si>
    <t xml:space="preserve">Costos fijos anuales</t>
  </si>
  <si>
    <t xml:space="preserve">$ / año</t>
  </si>
  <si>
    <t xml:space="preserve">Renta, nómina no imputable a casos, software, seguros, colegiación.</t>
  </si>
  <si>
    <t xml:space="preserve">Gasto de marketing mensual</t>
  </si>
  <si>
    <t xml:space="preserve">$ / mes</t>
  </si>
  <si>
    <t xml:space="preserve">Todo el gasto de captación: SEO, pago, contenido, eventos.</t>
  </si>
  <si>
    <t xml:space="preserve">Meses del ejercicio</t>
  </si>
  <si>
    <t xml:space="preserve">meses</t>
  </si>
  <si>
    <t xml:space="preserve">Normalmente 12. Cambiar solo para un ejercicio parcial.</t>
  </si>
  <si>
    <t xml:space="preserve">Referencias usadas por el resto del modelo</t>
  </si>
  <si>
    <t xml:space="preserve">Tarifa abogado</t>
  </si>
  <si>
    <t xml:space="preserve">Economía por tipo de caso</t>
  </si>
  <si>
    <t xml:space="preserve">El corazón del modelo. Precio − CAC − costo de entrega − overhead = margen de contribución.</t>
  </si>
  <si>
    <t xml:space="preserve">Tipo de caso</t>
  </si>
  <si>
    <t xml:space="preserve">Precio
($)</t>
  </si>
  <si>
    <t xml:space="preserve">Horas
abogado</t>
  </si>
  <si>
    <t xml:space="preserve">Horas
paralegal</t>
  </si>
  <si>
    <t xml:space="preserve">CAC
($)</t>
  </si>
  <si>
    <t xml:space="preserve">Casos
por mes</t>
  </si>
  <si>
    <t xml:space="preserve">Costo de
entrega ($)</t>
  </si>
  <si>
    <t xml:space="preserve">Overhead
($)</t>
  </si>
  <si>
    <t xml:space="preserve">Margen por
caso ($)</t>
  </si>
  <si>
    <t xml:space="preserve">Margen
%</t>
  </si>
  <si>
    <t xml:space="preserve">Ingreso
anual ($)</t>
  </si>
  <si>
    <t xml:space="preserve">Margen
anual ($)</t>
  </si>
  <si>
    <t xml:space="preserve">Naturalización</t>
  </si>
  <si>
    <t xml:space="preserve">Petición familiar (I-130)</t>
  </si>
  <si>
    <t xml:space="preserve">Ajuste de estatus</t>
  </si>
  <si>
    <t xml:space="preserve">Asilo afirmativo</t>
  </si>
  <si>
    <t xml:space="preserve">Defensa en corte (removal)</t>
  </si>
  <si>
    <t xml:space="preserve">Preparación de habeas (alcance limitado)</t>
  </si>
  <si>
    <t xml:space="preserve">Cumplimiento I-9 (empleador, anual)</t>
  </si>
  <si>
    <t xml:space="preserve">TOTAL</t>
  </si>
  <si>
    <t xml:space="preserve">Cómo leer esta tabla</t>
  </si>
  <si>
    <t xml:space="preserve">•  La columna 'Margen %' ordena los productos: el de arriba sostiene la firma, el de abajo puede estar subsidiándose.</t>
  </si>
  <si>
    <t xml:space="preserve">•  'Horas abogado' y 'Horas paralegal' son las horas REALES de entrega, no las facturables. Hay que medirlas aunque no se facturen: sin ellas no se sabe el margen.</t>
  </si>
  <si>
    <t xml:space="preserve">•  Bajar una hora de abogado en un tipo de caso de alto volumen vale más que subir el precio de uno de bajo volumen. La hoja 'Palancas' lo cuantifica.</t>
  </si>
  <si>
    <t xml:space="preserve">•  El overhead por caso sale de Supuestos!B8 y es igual para todos. Si un tipo de caso consume mucho más espacio o soporte, conviene asignarle un overhead propio.</t>
  </si>
  <si>
    <t xml:space="preserve">Embudo de captación</t>
  </si>
  <si>
    <t xml:space="preserve">La conversión de consulta es la palanca de mayor retorno de la firma. Medirla semanalmente.</t>
  </si>
  <si>
    <t xml:space="preserve">Mes</t>
  </si>
  <si>
    <t xml:space="preserve">Consultas
recibidas</t>
  </si>
  <si>
    <t xml:space="preserve">Consultas
atendidas</t>
  </si>
  <si>
    <t xml:space="preserve">Casos
firmados</t>
  </si>
  <si>
    <t xml:space="preserve">% atendidas</t>
  </si>
  <si>
    <t xml:space="preserve">% conversión</t>
  </si>
  <si>
    <t xml:space="preserve">Gasto de
marketing ($)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</si>
  <si>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</si>
  <si>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</si>
  <si>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</si>
  <si>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</si>
  <si>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</si>
  <si>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</si>
  <si>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</si>
  <si>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</si>
  <si>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</si>
  <si>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</si>
  <si>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</si>
  <si>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</si>
  <si>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/ PROMEDIO</t>
  </si>
  <si>
    <t xml:space="preserve">Los tres puntos donde se pierde una consulta, por orden de frecuencia:</t>
  </si>
  <si>
    <t xml:space="preserve">1.  Tiempo de respuesta. Una consulta contestada en una hora convierte mucho mejor que una contestada al día siguiente.</t>
  </si>
  <si>
    <t xml:space="preserve">2.  Quién atiende. La persona equivocada, entre dos audiencias, con prisa.</t>
  </si>
  <si>
    <t xml:space="preserve">3.  Si se pide el cierre. Muchas consultas acaban en «piénselo y nos llama» en vez de en una decisión.</t>
  </si>
  <si>
    <t xml:space="preserve">Estado de resultados y punto de equilibrio</t>
  </si>
  <si>
    <t xml:space="preserve">Todo se alimenta de 'TiposDeCaso' y 'Supuestos'. No hay nada que rellenar aquí.</t>
  </si>
  <si>
    <t xml:space="preserve">Ingreso anual</t>
  </si>
  <si>
    <t xml:space="preserve">Suma del ingreso de todos los tipos de caso.</t>
  </si>
  <si>
    <t xml:space="preserve">Margen de contribución anual</t>
  </si>
  <si>
    <t xml:space="preserve">Lo que queda tras CAC, entrega y overhead, antes de costos fijos.</t>
  </si>
  <si>
    <t xml:space="preserve">Margen de contribución (%)</t>
  </si>
  <si>
    <t xml:space="preserve">Si baja por debajo del 40 % conviene revisar el mix de casos.</t>
  </si>
  <si>
    <t xml:space="preserve">Desde 'Supuestos'.</t>
  </si>
  <si>
    <t xml:space="preserve">Utilidad operativa</t>
  </si>
  <si>
    <t xml:space="preserve">Margen de contribución menos costos fijos.</t>
  </si>
  <si>
    <t xml:space="preserve">Margen operativo (%)</t>
  </si>
  <si>
    <t xml:space="preserve">Referencia de firma de consumidor: ~25 %.</t>
  </si>
  <si>
    <t xml:space="preserve">Margen por caso (ponderado)</t>
  </si>
  <si>
    <t xml:space="preserve">Promedio ponderado por volumen, no promedio simple.</t>
  </si>
  <si>
    <t xml:space="preserve">Casos al año para cubrir los costos fijos</t>
  </si>
  <si>
    <t xml:space="preserve">Punto de equilibrio en número de casos.</t>
  </si>
  <si>
    <t xml:space="preserve">Casos al mes para cubrir los costos fijos</t>
  </si>
  <si>
    <t xml:space="preserve">El número que hay que superar cada mes.</t>
  </si>
  <si>
    <t xml:space="preserve">Casos al mes que tenemos hoy</t>
  </si>
  <si>
    <t xml:space="preserve">Desde 'TiposDeCaso'.</t>
  </si>
  <si>
    <t xml:space="preserve">Colchón sobre el equilibrio</t>
  </si>
  <si>
    <t xml:space="preserve">Cuánto puede caer el volumen antes de entrar en pérdidas.</t>
  </si>
  <si>
    <t xml:space="preserve">Palancas — cuánto mueve cada cambio</t>
  </si>
  <si>
    <t xml:space="preserve">Cambia los valores amarillos y compara. Ordenadas por impacto típico, no por facilidad.</t>
  </si>
  <si>
    <t xml:space="preserve">Palanca</t>
  </si>
  <si>
    <t xml:space="preserve">Cambio propuesto</t>
  </si>
  <si>
    <t xml:space="preserve">Efecto por caso ($)</t>
  </si>
  <si>
    <t xml:space="preserve">Efecto anual ($)</t>
  </si>
  <si>
    <t xml:space="preserve">¿Cuesta dinero?</t>
  </si>
  <si>
    <t xml:space="preserve">Escenario base (desde las otras hojas)</t>
  </si>
  <si>
    <t xml:space="preserve">Casos al año</t>
  </si>
  <si>
    <t xml:space="preserve">Margen por caso hoy (ponderado)</t>
  </si>
  <si>
    <t xml:space="preserve">Tasa de conversión actual</t>
  </si>
  <si>
    <t xml:space="preserve">Utilidad operativa hoy</t>
  </si>
  <si>
    <t xml:space="preserve">Palancas (edita la columna amarilla)</t>
  </si>
  <si>
    <t xml:space="preserve">Comentario</t>
  </si>
  <si>
    <t xml:space="preserve">Conversión de consulta</t>
  </si>
  <si>
    <t xml:space="preserve">n/a</t>
  </si>
  <si>
    <t xml:space="preserve">Sube la conversión N PUNTOS porcentuales. Actúa sobre el volumen, no sobre el margen por caso: más casos con el mismo gasto de marketing. No cuesta dinero — esa consulta ya se pagó.</t>
  </si>
  <si>
    <t xml:space="preserve">Horas de abogado por caso</t>
  </si>
  <si>
    <t xml:space="preserve">Reduce N horas de abogado por caso moviendo trabajo al paralegal o al proceso.</t>
  </si>
  <si>
    <t xml:space="preserve">Horas de paralegal por caso</t>
  </si>
  <si>
    <t xml:space="preserve">Reduce N horas de paralegal por caso mediante plantillas y automatización.</t>
  </si>
  <si>
    <t xml:space="preserve">Precio</t>
  </si>
  <si>
    <t xml:space="preserve">Sube el precio un N %. Sin costo directo, pero con riesgo comercial.</t>
  </si>
  <si>
    <t xml:space="preserve">CAC</t>
  </si>
  <si>
    <t xml:space="preserve">Baja el CAC N dólares desplazando la mezcla de canales hacia referidos.</t>
  </si>
  <si>
    <t xml:space="preserve">Efecto combinado sobre la utilidad</t>
  </si>
  <si>
    <t xml:space="preserve">Utilidad operativa resultante</t>
  </si>
  <si>
    <t xml:space="preserve">•  El efecto de la conversión se calcula sobre el volumen: más casos con el mismo gasto de marketing y el mismo margen por caso.</t>
  </si>
  <si>
    <t xml:space="preserve">•  Las palancas se multiplican, no se suman: mejorar cinco cosas un 5 % da alrededor de +28 %, no +25 %. Este cuadro las suma de forma conservadora.</t>
  </si>
  <si>
    <t xml:space="preserve">•  La columna 'Valor propuesto' admite valores negativos. Sirve también para medir el daño: qué pasa si el CAC sube o si las horas de entrega crecen.</t>
  </si>
  <si>
    <t xml:space="preserve">Panel — los cinco números del lunes por la mañana</t>
  </si>
  <si>
    <t xml:space="preserve">Media hoja, una vez al mes, misma fecha. La disciplina de mirarlos vale más que la sofisticación de calcularlos.</t>
  </si>
  <si>
    <t xml:space="preserve">#</t>
  </si>
  <si>
    <t xml:space="preserve">Indicador</t>
  </si>
  <si>
    <t xml:space="preserve">Referencia sana</t>
  </si>
  <si>
    <t xml:space="preserve">Qué hacer si se sale</t>
  </si>
  <si>
    <t xml:space="preserve">1</t>
  </si>
  <si>
    <t xml:space="preserve">Casos firmados al año</t>
  </si>
  <si>
    <t xml:space="preserve">Por encima del equilibrio</t>
  </si>
  <si>
    <t xml:space="preserve">Si cae por debajo de 'Firma'!B13, la firma pierde dinero ese año.</t>
  </si>
  <si>
    <t xml:space="preserve">2</t>
  </si>
  <si>
    <t xml:space="preserve">Tasa de conversión de consulta</t>
  </si>
  <si>
    <t xml:space="preserve">40 % o más</t>
  </si>
  <si>
    <t xml:space="preserve">Revisar tiempo de respuesta, quién atiende y si se pide el cierre.</t>
  </si>
  <si>
    <t xml:space="preserve">3</t>
  </si>
  <si>
    <t xml:space="preserve">Positiva y creciente</t>
  </si>
  <si>
    <t xml:space="preserve">Si baja con ingreso estable, el problema está en el costo de entrega.</t>
  </si>
  <si>
    <t xml:space="preserve">4</t>
  </si>
  <si>
    <t xml:space="preserve">45 % o más</t>
  </si>
  <si>
    <t xml:space="preserve">Si baja, mirar la columna 'Margen %' de TiposDeCaso: hay un producto subsidiado.</t>
  </si>
  <si>
    <t xml:space="preserve">5</t>
  </si>
  <si>
    <t xml:space="preserve">Colchón sobre el punto de equilibrio</t>
  </si>
  <si>
    <t xml:space="preserve">30 % o más</t>
  </si>
  <si>
    <t xml:space="preserve">Por debajo del 15 %, cualquier mes malo compromete la nómina.</t>
  </si>
  <si>
    <t xml:space="preserve">Dos señales de alarma que se vigilan aparte</t>
  </si>
  <si>
    <t xml:space="preserve">•  Concentración de canal — si el 70 % de los casos viene de una sola fuente, esa fuente es un punto único de fallo.</t>
  </si>
  <si>
    <t xml:space="preserve">•  Días entre firma del caso y cobro íntegro — es el primer síntoma de casi cualquier problema de gestión, mucho antes de que se vea en la utilidad.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</si>
</sst>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#,##0.0;\(#,##0.0\);\-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5F9"/>
        <bgColor rgb="FFE8EEF7"/>
      </patternFill>
    </fill>
    <fill>
      <patternFill patternType="solid">
        <fgColor rgb="FFE8EEF7"/>
        <bgColor rgb="FFF2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D0DC"/>
      </left>
      <right style="thin">
        <color rgb="FFC7D0DC"/>
      </right>
      <top style="thin">
        <color rgb="FFC7D0DC"/>
      </top>
      <bottom style="thin">
        <color rgb="FFC7D0DC"/>
      </bottom>
      <diagonal/>
    </border>
    <border diagonalUp="false" diagonalDown="false">
      <left style="thin">
        <color rgb="FFC7D0DC"/>
      </left>
      <right style="thin">
        <color rgb="FFC7D0DC"/>
      </right>
      <top style="double">
        <color rgb="FF1F3864"/>
      </top>
      <bottom style="thin">
        <color rgb="FFC7D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8EEF7"/>
      <rgbColor rgb="FF660066"/>
      <rgbColor rgb="FFFF8080"/>
      <rgbColor rgb="FF0066CC"/>
      <rgbColor rgb="FFC7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6" t="s">
        <v>12</v>
      </c>
      <c r="C11" s="7" t="s">
        <v>13</v>
      </c>
    </row>
    <row r="12" customFormat="false" ht="15" hidden="false" customHeight="false" outlineLevel="0" collapsed="false">
      <c r="B12" s="8" t="s">
        <v>14</v>
      </c>
      <c r="C12" s="7" t="s">
        <v>15</v>
      </c>
    </row>
    <row r="13" customFormat="false" ht="15" hidden="false" customHeight="false" outlineLevel="0" collapsed="false">
      <c r="B13" s="7" t="s">
        <v>16</v>
      </c>
      <c r="C13" s="7" t="s">
        <v>17</v>
      </c>
    </row>
    <row r="14" customFormat="false" ht="15" hidden="false" customHeight="false" outlineLevel="0" collapsed="false">
      <c r="B14" s="9" t="s">
        <v>18</v>
      </c>
      <c r="C14" s="7" t="s">
        <v>19</v>
      </c>
    </row>
    <row r="16" customFormat="false" ht="15" hidden="false" customHeight="false" outlineLevel="0" collapsed="false">
      <c r="B16" s="3" t="s">
        <v>20</v>
      </c>
    </row>
    <row r="17" customFormat="false" ht="30" hidden="false" customHeight="true" outlineLevel="0" collapsed="false">
      <c r="B17" s="4" t="s">
        <v>21</v>
      </c>
      <c r="C17" s="5" t="s">
        <v>22</v>
      </c>
    </row>
    <row r="18" customFormat="false" ht="30" hidden="false" customHeight="true" outlineLevel="0" collapsed="false">
      <c r="B18" s="4" t="s">
        <v>23</v>
      </c>
      <c r="C18" s="5" t="s">
        <v>24</v>
      </c>
    </row>
    <row r="19" customFormat="false" ht="30" hidden="false" customHeight="true" outlineLevel="0" collapsed="false">
      <c r="B19" s="4" t="s">
        <v>25</v>
      </c>
      <c r="C19" s="5" t="s">
        <v>26</v>
      </c>
    </row>
    <row r="20" customFormat="false" ht="30" hidden="false" customHeight="true" outlineLevel="0" collapsed="false">
      <c r="B20" s="4" t="s">
        <v>27</v>
      </c>
      <c r="C20" s="5" t="s">
        <v>28</v>
      </c>
    </row>
    <row r="21" customFormat="false" ht="30" hidden="false" customHeight="true" outlineLevel="0" collapsed="false">
      <c r="B21" s="4" t="s">
        <v>29</v>
      </c>
      <c r="C21" s="5" t="s">
        <v>30</v>
      </c>
    </row>
    <row r="22" customFormat="false" ht="30" hidden="false" customHeight="true" outlineLevel="0" collapsed="false">
      <c r="B22" s="4" t="s">
        <v>31</v>
      </c>
      <c r="C22" s="5" t="s">
        <v>32</v>
      </c>
    </row>
    <row r="24" customFormat="false" ht="15" hidden="false" customHeight="false" outlineLevel="0" collapsed="false">
      <c r="B24" s="3" t="s">
        <v>33</v>
      </c>
    </row>
    <row r="25" customFormat="false" ht="30" hidden="false" customHeight="true" outlineLevel="0" collapsed="false">
      <c r="B25" s="4"/>
      <c r="C25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35</v>
      </c>
    </row>
    <row r="4" customFormat="false" ht="30" hidden="false" customHeight="true" outlineLevel="0" collapsed="false">
      <c r="A4" s="10" t="s">
        <v>36</v>
      </c>
      <c r="B4" s="10" t="s">
        <v>37</v>
      </c>
      <c r="C4" s="10" t="s">
        <v>38</v>
      </c>
      <c r="D4" s="10" t="s">
        <v>39</v>
      </c>
    </row>
    <row r="5" customFormat="false" ht="27.75" hidden="false" customHeight="true" outlineLevel="0" collapsed="false">
      <c r="A5" s="4" t="s">
        <v>40</v>
      </c>
      <c r="B5" s="11" t="n">
        <v>95</v>
      </c>
      <c r="C5" s="7" t="s">
        <v>41</v>
      </c>
      <c r="D5" s="12" t="s">
        <v>42</v>
      </c>
    </row>
    <row r="6" customFormat="false" ht="27.75" hidden="false" customHeight="true" outlineLevel="0" collapsed="false">
      <c r="A6" s="4" t="s">
        <v>43</v>
      </c>
      <c r="B6" s="11" t="n">
        <v>34</v>
      </c>
      <c r="C6" s="7" t="s">
        <v>41</v>
      </c>
      <c r="D6" s="12" t="s">
        <v>44</v>
      </c>
    </row>
    <row r="7" customFormat="false" ht="27.75" hidden="false" customHeight="true" outlineLevel="0" collapsed="false">
      <c r="A7" s="4" t="s">
        <v>45</v>
      </c>
      <c r="B7" s="11" t="n">
        <v>24</v>
      </c>
      <c r="C7" s="7" t="s">
        <v>41</v>
      </c>
      <c r="D7" s="12" t="s">
        <v>46</v>
      </c>
    </row>
    <row r="8" customFormat="false" ht="27.75" hidden="false" customHeight="true" outlineLevel="0" collapsed="false">
      <c r="A8" s="4" t="s">
        <v>47</v>
      </c>
      <c r="B8" s="11" t="n">
        <v>840</v>
      </c>
      <c r="C8" s="7" t="s">
        <v>48</v>
      </c>
      <c r="D8" s="12" t="s">
        <v>49</v>
      </c>
    </row>
    <row r="9" customFormat="false" ht="27.75" hidden="false" customHeight="true" outlineLevel="0" collapsed="false">
      <c r="A9" s="4" t="s">
        <v>50</v>
      </c>
      <c r="B9" s="11" t="n">
        <v>600000</v>
      </c>
      <c r="C9" s="7" t="s">
        <v>51</v>
      </c>
      <c r="D9" s="12" t="s">
        <v>52</v>
      </c>
    </row>
    <row r="10" customFormat="false" ht="27.75" hidden="false" customHeight="true" outlineLevel="0" collapsed="false">
      <c r="A10" s="4" t="s">
        <v>53</v>
      </c>
      <c r="B10" s="11" t="n">
        <v>24000</v>
      </c>
      <c r="C10" s="7" t="s">
        <v>54</v>
      </c>
      <c r="D10" s="12" t="s">
        <v>55</v>
      </c>
    </row>
    <row r="11" customFormat="false" ht="27.75" hidden="false" customHeight="true" outlineLevel="0" collapsed="false">
      <c r="A11" s="4" t="s">
        <v>56</v>
      </c>
      <c r="B11" s="13" t="n">
        <v>12</v>
      </c>
      <c r="C11" s="7" t="s">
        <v>57</v>
      </c>
      <c r="D11" s="12" t="s">
        <v>58</v>
      </c>
    </row>
    <row r="14" customFormat="false" ht="15" hidden="false" customHeight="false" outlineLevel="0" collapsed="false">
      <c r="A14" s="3" t="s">
        <v>59</v>
      </c>
    </row>
    <row r="15" customFormat="false" ht="15" hidden="false" customHeight="false" outlineLevel="0" collapsed="false">
      <c r="A15" s="7" t="s">
        <v>60</v>
      </c>
      <c r="B15" s="14" t="n">
        <f aca="false">B5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0" hidden="false" customHeight="true" outlineLevel="0" collapsed="false">
      <c r="A4" s="10" t="s">
        <v>63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</row>
    <row r="5" customFormat="false" ht="15" hidden="false" customHeight="false" outlineLevel="0" collapsed="false">
      <c r="A5" s="4" t="s">
        <v>75</v>
      </c>
      <c r="B5" s="11" t="n">
        <v>1800</v>
      </c>
      <c r="C5" s="15" t="n">
        <v>1</v>
      </c>
      <c r="D5" s="15" t="n">
        <v>3</v>
      </c>
      <c r="E5" s="11" t="n">
        <v>420</v>
      </c>
      <c r="F5" s="15" t="n">
        <v>12</v>
      </c>
      <c r="G5" s="16" t="n">
        <f aca="false">C5*Supuestos!$B$5+D5*Supuestos!$B$6</f>
        <v>197</v>
      </c>
      <c r="H5" s="17" t="n">
        <f aca="false">Supuestos!$B$8</f>
        <v>840</v>
      </c>
      <c r="I5" s="18" t="n">
        <f aca="false">B5-E5-G5-H5</f>
        <v>343</v>
      </c>
      <c r="J5" s="19" t="n">
        <f aca="false">IFERROR(I5/B5,0)</f>
        <v>0.190555555555556</v>
      </c>
      <c r="K5" s="16" t="n">
        <f aca="false">B5*F5*Supuestos!$B$11</f>
        <v>259200</v>
      </c>
      <c r="L5" s="16" t="n">
        <f aca="false">I5*F5*Supuestos!$B$11</f>
        <v>49392</v>
      </c>
    </row>
    <row r="6" customFormat="false" ht="15" hidden="false" customHeight="false" outlineLevel="0" collapsed="false">
      <c r="A6" s="20" t="s">
        <v>76</v>
      </c>
      <c r="B6" s="11" t="n">
        <v>2600</v>
      </c>
      <c r="C6" s="15" t="n">
        <v>1.5</v>
      </c>
      <c r="D6" s="15" t="n">
        <v>4</v>
      </c>
      <c r="E6" s="11" t="n">
        <v>560</v>
      </c>
      <c r="F6" s="15" t="n">
        <v>10</v>
      </c>
      <c r="G6" s="21" t="n">
        <f aca="false">C6*Supuestos!$B$5+D6*Supuestos!$B$6</f>
        <v>278.5</v>
      </c>
      <c r="H6" s="22" t="n">
        <f aca="false">Supuestos!$B$8</f>
        <v>840</v>
      </c>
      <c r="I6" s="23" t="n">
        <f aca="false">B6-E6-G6-H6</f>
        <v>921.5</v>
      </c>
      <c r="J6" s="24" t="n">
        <f aca="false">IFERROR(I6/B6,0)</f>
        <v>0.354423076923077</v>
      </c>
      <c r="K6" s="21" t="n">
        <f aca="false">B6*F6*Supuestos!$B$11</f>
        <v>312000</v>
      </c>
      <c r="L6" s="21" t="n">
        <f aca="false">I6*F6*Supuestos!$B$11</f>
        <v>110580</v>
      </c>
    </row>
    <row r="7" customFormat="false" ht="15" hidden="false" customHeight="false" outlineLevel="0" collapsed="false">
      <c r="A7" s="4" t="s">
        <v>77</v>
      </c>
      <c r="B7" s="11" t="n">
        <v>4200</v>
      </c>
      <c r="C7" s="15" t="n">
        <v>2</v>
      </c>
      <c r="D7" s="15" t="n">
        <v>4.5</v>
      </c>
      <c r="E7" s="11" t="n">
        <v>650</v>
      </c>
      <c r="F7" s="15" t="n">
        <v>9</v>
      </c>
      <c r="G7" s="16" t="n">
        <f aca="false">C7*Supuestos!$B$5+D7*Supuestos!$B$6</f>
        <v>343</v>
      </c>
      <c r="H7" s="17" t="n">
        <f aca="false">Supuestos!$B$8</f>
        <v>840</v>
      </c>
      <c r="I7" s="18" t="n">
        <f aca="false">B7-E7-G7-H7</f>
        <v>2367</v>
      </c>
      <c r="J7" s="19" t="n">
        <f aca="false">IFERROR(I7/B7,0)</f>
        <v>0.563571428571429</v>
      </c>
      <c r="K7" s="16" t="n">
        <f aca="false">B7*F7*Supuestos!$B$11</f>
        <v>453600</v>
      </c>
      <c r="L7" s="16" t="n">
        <f aca="false">I7*F7*Supuestos!$B$11</f>
        <v>255636</v>
      </c>
    </row>
    <row r="8" customFormat="false" ht="15" hidden="false" customHeight="false" outlineLevel="0" collapsed="false">
      <c r="A8" s="20" t="s">
        <v>78</v>
      </c>
      <c r="B8" s="11" t="n">
        <v>6500</v>
      </c>
      <c r="C8" s="15" t="n">
        <v>8</v>
      </c>
      <c r="D8" s="15" t="n">
        <v>10</v>
      </c>
      <c r="E8" s="11" t="n">
        <v>700</v>
      </c>
      <c r="F8" s="15" t="n">
        <v>4</v>
      </c>
      <c r="G8" s="21" t="n">
        <f aca="false">C8*Supuestos!$B$5+D8*Supuestos!$B$6</f>
        <v>1100</v>
      </c>
      <c r="H8" s="22" t="n">
        <f aca="false">Supuestos!$B$8</f>
        <v>840</v>
      </c>
      <c r="I8" s="23" t="n">
        <f aca="false">B8-E8-G8-H8</f>
        <v>3860</v>
      </c>
      <c r="J8" s="24" t="n">
        <f aca="false">IFERROR(I8/B8,0)</f>
        <v>0.593846153846154</v>
      </c>
      <c r="K8" s="21" t="n">
        <f aca="false">B8*F8*Supuestos!$B$11</f>
        <v>312000</v>
      </c>
      <c r="L8" s="21" t="n">
        <f aca="false">I8*F8*Supuestos!$B$11</f>
        <v>185280</v>
      </c>
    </row>
    <row r="9" customFormat="false" ht="15" hidden="false" customHeight="false" outlineLevel="0" collapsed="false">
      <c r="A9" s="4" t="s">
        <v>79</v>
      </c>
      <c r="B9" s="11" t="n">
        <v>9000</v>
      </c>
      <c r="C9" s="15" t="n">
        <v>20</v>
      </c>
      <c r="D9" s="15" t="n">
        <v>12</v>
      </c>
      <c r="E9" s="11" t="n">
        <v>900</v>
      </c>
      <c r="F9" s="15" t="n">
        <v>3</v>
      </c>
      <c r="G9" s="16" t="n">
        <f aca="false">C9*Supuestos!$B$5+D9*Supuestos!$B$6</f>
        <v>2308</v>
      </c>
      <c r="H9" s="17" t="n">
        <f aca="false">Supuestos!$B$8</f>
        <v>840</v>
      </c>
      <c r="I9" s="18" t="n">
        <f aca="false">B9-E9-G9-H9</f>
        <v>4952</v>
      </c>
      <c r="J9" s="19" t="n">
        <f aca="false">IFERROR(I9/B9,0)</f>
        <v>0.550222222222222</v>
      </c>
      <c r="K9" s="16" t="n">
        <f aca="false">B9*F9*Supuestos!$B$11</f>
        <v>324000</v>
      </c>
      <c r="L9" s="16" t="n">
        <f aca="false">I9*F9*Supuestos!$B$11</f>
        <v>178272</v>
      </c>
    </row>
    <row r="10" customFormat="false" ht="15" hidden="false" customHeight="false" outlineLevel="0" collapsed="false">
      <c r="A10" s="20" t="s">
        <v>80</v>
      </c>
      <c r="B10" s="11" t="n">
        <v>2800</v>
      </c>
      <c r="C10" s="15" t="n">
        <v>1.5</v>
      </c>
      <c r="D10" s="15" t="n">
        <v>8</v>
      </c>
      <c r="E10" s="11" t="n">
        <v>300</v>
      </c>
      <c r="F10" s="15" t="n">
        <v>5</v>
      </c>
      <c r="G10" s="21" t="n">
        <f aca="false">C10*Supuestos!$B$5+D10*Supuestos!$B$6</f>
        <v>414.5</v>
      </c>
      <c r="H10" s="22" t="n">
        <f aca="false">Supuestos!$B$8</f>
        <v>840</v>
      </c>
      <c r="I10" s="23" t="n">
        <f aca="false">B10-E10-G10-H10</f>
        <v>1245.5</v>
      </c>
      <c r="J10" s="24" t="n">
        <f aca="false">IFERROR(I10/B10,0)</f>
        <v>0.444821428571429</v>
      </c>
      <c r="K10" s="21" t="n">
        <f aca="false">B10*F10*Supuestos!$B$11</f>
        <v>168000</v>
      </c>
      <c r="L10" s="21" t="n">
        <f aca="false">I10*F10*Supuestos!$B$11</f>
        <v>74730</v>
      </c>
    </row>
    <row r="11" customFormat="false" ht="15" hidden="false" customHeight="false" outlineLevel="0" collapsed="false">
      <c r="A11" s="4" t="s">
        <v>81</v>
      </c>
      <c r="B11" s="11" t="n">
        <v>7200</v>
      </c>
      <c r="C11" s="15" t="n">
        <v>6</v>
      </c>
      <c r="D11" s="15" t="n">
        <v>10</v>
      </c>
      <c r="E11" s="11" t="n">
        <v>1200</v>
      </c>
      <c r="F11" s="15" t="n">
        <v>0.5</v>
      </c>
      <c r="G11" s="16" t="n">
        <f aca="false">C11*Supuestos!$B$5+D11*Supuestos!$B$6</f>
        <v>910</v>
      </c>
      <c r="H11" s="17" t="n">
        <f aca="false">Supuestos!$B$8</f>
        <v>840</v>
      </c>
      <c r="I11" s="18" t="n">
        <f aca="false">B11-E11-G11-H11</f>
        <v>4250</v>
      </c>
      <c r="J11" s="19" t="n">
        <f aca="false">IFERROR(I11/B11,0)</f>
        <v>0.590277777777778</v>
      </c>
      <c r="K11" s="16" t="n">
        <f aca="false">B11*F11*Supuestos!$B$11</f>
        <v>43200</v>
      </c>
      <c r="L11" s="16" t="n">
        <f aca="false">I11*F11*Supuestos!$B$11</f>
        <v>25500</v>
      </c>
    </row>
    <row r="12" customFormat="false" ht="15" hidden="false" customHeight="false" outlineLevel="0" collapsed="false">
      <c r="A12" s="25" t="s">
        <v>82</v>
      </c>
      <c r="F12" s="26" t="n">
        <f aca="false">SUM(F5:F11)</f>
        <v>43.5</v>
      </c>
      <c r="I12" s="27" t="n">
        <f aca="false">IFERROR(SUMPRODUCT(I5:I11,F5:F11)/SUM(F5:F11),0)</f>
        <v>1684.65517241379</v>
      </c>
      <c r="J12" s="28" t="n">
        <f aca="false">IFERROR(L12/K12,0)</f>
        <v>0.469759615384615</v>
      </c>
      <c r="K12" s="27" t="n">
        <f aca="false">SUM(K5:K11)</f>
        <v>1872000</v>
      </c>
      <c r="L12" s="27" t="n">
        <f aca="false">SUM(L5:L11)</f>
        <v>879390</v>
      </c>
    </row>
    <row r="14" customFormat="false" ht="15" hidden="false" customHeight="false" outlineLevel="0" collapsed="false">
      <c r="A14" s="3" t="s">
        <v>83</v>
      </c>
    </row>
    <row r="15" customFormat="false" ht="25.5" hidden="false" customHeight="true" outlineLevel="0" collapsed="false">
      <c r="A15" s="29" t="s">
        <v>84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customFormat="false" ht="25.5" hidden="false" customHeight="true" outlineLevel="0" collapsed="false">
      <c r="A16" s="29" t="s">
        <v>85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customFormat="false" ht="25.5" hidden="false" customHeight="true" outlineLevel="0" collapsed="false">
      <c r="A17" s="29" t="s">
        <v>86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customFormat="false" ht="25.5" hidden="false" customHeight="true" outlineLevel="0" collapsed="false">
      <c r="A18" s="29" t="s">
        <v>87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</sheetData>
  <mergeCells count="4">
    <mergeCell ref="A15:L15"/>
    <mergeCell ref="A16:L16"/>
    <mergeCell ref="A17:L17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0" hidden="false" customHeight="true" outlineLevel="0" collapsed="false">
      <c r="A4" s="10" t="s">
        <v>90</v>
      </c>
      <c r="B4" s="10" t="s">
        <v>91</v>
      </c>
      <c r="C4" s="10" t="s">
        <v>92</v>
      </c>
      <c r="D4" s="10" t="s">
        <v>93</v>
      </c>
      <c r="E4" s="10" t="s">
        <v>94</v>
      </c>
      <c r="F4" s="10" t="s">
        <v>95</v>
      </c>
      <c r="G4" s="10" t="s">
        <v>96</v>
      </c>
      <c r="H4" s="10" t="s">
        <v>67</v>
      </c>
    </row>
    <row r="5" customFormat="false" ht="15" hidden="false" customHeight="false" outlineLevel="0" collapsed="false">
      <c r="A5" s="4" t="s">
        <v>97</v>
      </c>
      <c r="B5" s="13" t="n">
        <v>150</v>
      </c>
      <c r="C5" s="13" t="n">
        <v>120</v>
      </c>
      <c r="D5" s="13" t="n">
        <v>42</v>
      </c>
      <c r="E5" s="19" t="n">
        <f aca="false">IFERROR(C5/B5,"")</f>
        <v>0.8</v>
      </c>
      <c r="F5" s="30" t="n">
        <f aca="false">IFERROR(D5/C5,"")</f>
        <v>0.35</v>
      </c>
      <c r="G5" s="17" t="n">
        <f aca="false">Supuestos!$B$10</f>
        <v>24000</v>
      </c>
      <c r="H5" s="16" t="n">
        <f aca="false">IFERROR(G5/D5,"")</f>
        <v>571.428571428571</v>
      </c>
    </row>
    <row r="6" customFormat="false" ht="15" hidden="false" customHeight="false" outlineLevel="0" collapsed="false">
      <c r="A6" s="4" t="s">
        <v>98</v>
      </c>
      <c r="B6" s="13" t="n">
        <v>140</v>
      </c>
      <c r="C6" s="13" t="n">
        <v>112</v>
      </c>
      <c r="D6" s="13" t="n">
        <v>39</v>
      </c>
      <c r="E6" s="19" t="n">
        <f aca="false">IFERROR(C6/B6,"")</f>
        <v>0.8</v>
      </c>
      <c r="F6" s="30" t="n">
        <f aca="false">IFERROR(D6/C6,"")</f>
        <v>0.348214285714286</v>
      </c>
      <c r="G6" s="17" t="n">
        <f aca="false">Supuestos!$B$10</f>
        <v>24000</v>
      </c>
      <c r="H6" s="16" t="n">
        <f aca="false">IFERROR(G6/D6,"")</f>
        <v>615.384615384615</v>
      </c>
    </row>
    <row r="7" customFormat="false" ht="15" hidden="false" customHeight="false" outlineLevel="0" collapsed="false">
      <c r="A7" s="4" t="s">
        <v>99</v>
      </c>
      <c r="B7" s="13"/>
      <c r="C7" s="13"/>
      <c r="D7" s="13"/>
      <c r="E7" s="19" t="str">
        <f aca="false">IFERROR(C7/B7,"")</f>
        <v/>
      </c>
      <c r="F7" s="30" t="str">
        <f aca="false">IFERROR(D7/C7,"")</f>
        <v/>
      </c>
      <c r="G7" s="17" t="n">
        <f aca="false">Supuestos!$B$10</f>
        <v>24000</v>
      </c>
      <c r="H7" s="16" t="str">
        <f aca="false">IFERROR(G7/D7,"")</f>
        <v/>
      </c>
    </row>
    <row r="8" customFormat="false" ht="15" hidden="false" customHeight="false" outlineLevel="0" collapsed="false">
      <c r="A8" s="4" t="s">
        <v>100</v>
      </c>
      <c r="B8" s="13"/>
      <c r="C8" s="13"/>
      <c r="D8" s="13"/>
      <c r="E8" s="19" t="str">
        <f aca="false">IFERROR(C8/B8,"")</f>
        <v/>
      </c>
      <c r="F8" s="30" t="str">
        <f aca="false">IFERROR(D8/C8,"")</f>
        <v/>
      </c>
      <c r="G8" s="17" t="n">
        <f aca="false">Supuestos!$B$10</f>
        <v>24000</v>
      </c>
      <c r="H8" s="16" t="str">
        <f aca="false">IFERROR(G8/D8,"")</f>
        <v/>
      </c>
    </row>
    <row r="9" customFormat="false" ht="15" hidden="false" customHeight="false" outlineLevel="0" collapsed="false">
      <c r="A9" s="4" t="s">
        <v>101</v>
      </c>
      <c r="B9" s="13"/>
      <c r="C9" s="13"/>
      <c r="D9" s="13"/>
      <c r="E9" s="19" t="str">
        <f aca="false">IFERROR(C9/B9,"")</f>
        <v/>
      </c>
      <c r="F9" s="30" t="str">
        <f aca="false">IFERROR(D9/C9,"")</f>
        <v/>
      </c>
      <c r="G9" s="17" t="n">
        <f aca="false">Supuestos!$B$10</f>
        <v>24000</v>
      </c>
      <c r="H9" s="16" t="str">
        <f aca="false">IFERROR(G9/D9,"")</f>
        <v/>
      </c>
    </row>
    <row r="10" customFormat="false" ht="15" hidden="false" customHeight="false" outlineLevel="0" collapsed="false">
      <c r="A10" s="4" t="s">
        <v>102</v>
      </c>
      <c r="B10" s="13"/>
      <c r="C10" s="13"/>
      <c r="D10" s="13"/>
      <c r="E10" s="19" t="str">
        <f aca="false">IFERROR(C10/B10,"")</f>
        <v/>
      </c>
      <c r="F10" s="30" t="str">
        <f aca="false">IFERROR(D10/C10,"")</f>
        <v/>
      </c>
      <c r="G10" s="17" t="n">
        <f aca="false">Supuestos!$B$10</f>
        <v>24000</v>
      </c>
      <c r="H10" s="16" t="str">
        <f aca="false">IFERROR(G10/D10,"")</f>
        <v/>
      </c>
    </row>
    <row r="11" customFormat="false" ht="15" hidden="false" customHeight="false" outlineLevel="0" collapsed="false">
      <c r="A11" s="4" t="s">
        <v>103</v>
      </c>
      <c r="B11" s="13"/>
      <c r="C11" s="13"/>
      <c r="D11" s="13"/>
      <c r="E11" s="19" t="str">
        <f aca="false">IFERROR(C11/B11,"")</f>
        <v/>
      </c>
      <c r="F11" s="30" t="str">
        <f aca="false">IFERROR(D11/C11,"")</f>
        <v/>
      </c>
      <c r="G11" s="17" t="n">
        <f aca="false">Supuestos!$B$10</f>
        <v>24000</v>
      </c>
      <c r="H11" s="16" t="str">
        <f aca="false">IFERROR(G11/D11,"")</f>
        <v/>
      </c>
    </row>
    <row r="12" customFormat="false" ht="15" hidden="false" customHeight="false" outlineLevel="0" collapsed="false">
      <c r="A12" s="4" t="s">
        <v>104</v>
      </c>
      <c r="B12" s="13"/>
      <c r="C12" s="13"/>
      <c r="D12" s="13"/>
      <c r="E12" s="19" t="str">
        <f aca="false">IFERROR(C12/B12,"")</f>
        <v/>
      </c>
      <c r="F12" s="30" t="str">
        <f aca="false">IFERROR(D12/C12,"")</f>
        <v/>
      </c>
      <c r="G12" s="17" t="n">
        <f aca="false">Supuestos!$B$10</f>
        <v>24000</v>
      </c>
      <c r="H12" s="16" t="str">
        <f aca="false">IFERROR(G12/D12,"")</f>
        <v/>
      </c>
    </row>
    <row r="13" customFormat="false" ht="15" hidden="false" customHeight="false" outlineLevel="0" collapsed="false">
      <c r="A13" s="4" t="s">
        <v>105</v>
      </c>
      <c r="B13" s="13"/>
      <c r="C13" s="13"/>
      <c r="D13" s="13"/>
      <c r="E13" s="19" t="str">
        <f aca="false">IFERROR(C13/B13,"")</f>
        <v/>
      </c>
      <c r="F13" s="30" t="str">
        <f aca="false">IFERROR(D13/C13,"")</f>
        <v/>
      </c>
      <c r="G13" s="17" t="n">
        <f aca="false">Supuestos!$B$10</f>
        <v>24000</v>
      </c>
      <c r="H13" s="16" t="str">
        <f aca="false">IFERROR(G13/D13,"")</f>
        <v/>
      </c>
    </row>
    <row r="14" customFormat="false" ht="15" hidden="false" customHeight="false" outlineLevel="0" collapsed="false">
      <c r="A14" s="4" t="s">
        <v>106</v>
      </c>
      <c r="B14" s="13"/>
      <c r="C14" s="13"/>
      <c r="D14" s="13"/>
      <c r="E14" s="19" t="str">
        <f aca="false">IFERROR(C14/B14,"")</f>
        <v/>
      </c>
      <c r="F14" s="30" t="str">
        <f aca="false">IFERROR(D14/C14,"")</f>
        <v/>
      </c>
      <c r="G14" s="17" t="n">
        <f aca="false">Supuestos!$B$10</f>
        <v>24000</v>
      </c>
      <c r="H14" s="16" t="str">
        <f aca="false">IFERROR(G14/D14,"")</f>
        <v/>
      </c>
    </row>
    <row r="15" customFormat="false" ht="15" hidden="false" customHeight="false" outlineLevel="0" collapsed="false">
      <c r="A15" s="4" t="s">
        <v>107</v>
      </c>
      <c r="B15" s="13"/>
      <c r="C15" s="13"/>
      <c r="D15" s="13"/>
      <c r="E15" s="19" t="str">
        <f aca="false">IFERROR(C15/B15,"")</f>
        <v/>
      </c>
      <c r="F15" s="30" t="str">
        <f aca="false">IFERROR(D15/C15,"")</f>
        <v/>
      </c>
      <c r="G15" s="17" t="n">
        <f aca="false">Supuestos!$B$10</f>
        <v>24000</v>
      </c>
      <c r="H15" s="16" t="str">
        <f aca="false">IFERROR(G15/D15,"")</f>
        <v/>
      </c>
    </row>
    <row r="16" customFormat="false" ht="15" hidden="false" customHeight="false" outlineLevel="0" collapsed="false">
      <c r="A16" s="4" t="s">
        <v>108</v>
      </c>
      <c r="B16" s="13"/>
      <c r="C16" s="13"/>
      <c r="D16" s="13"/>
      <c r="E16" s="19" t="str">
        <f aca="false">IFERROR(C16/B16,"")</f>
        <v/>
      </c>
      <c r="F16" s="30" t="str">
        <f aca="false">IFERROR(D16/C16,"")</f>
        <v/>
      </c>
      <c r="G16" s="17" t="n">
        <f aca="false">Supuestos!$B$10</f>
        <v>24000</v>
      </c>
      <c r="H16" s="16" t="str">
        <f aca="false">IFERROR(G16/D16,"")</f>
        <v/>
      </c>
    </row>
    <row r="17" customFormat="false" ht="15" hidden="false" customHeight="false" outlineLevel="0" collapsed="false">
      <c r="A17" s="25" t="s">
        <v>109</v>
      </c>
      <c r="B17" s="31" t="n">
        <f aca="false">SUM(B5:B16)</f>
        <v>290</v>
      </c>
      <c r="C17" s="31" t="n">
        <f aca="false">SUM(C5:C16)</f>
        <v>232</v>
      </c>
      <c r="D17" s="31" t="n">
        <f aca="false">SUM(D5:D16)</f>
        <v>81</v>
      </c>
      <c r="E17" s="28" t="n">
        <f aca="false">IFERROR(C17/B17,"")</f>
        <v>0.8</v>
      </c>
      <c r="F17" s="28" t="n">
        <f aca="false">IFERROR(D17/C17,"")</f>
        <v>0.349137931034483</v>
      </c>
      <c r="G17" s="27" t="n">
        <f aca="false">SUMIF(D5:D16,"&gt;0",G5:G16)</f>
        <v>48000</v>
      </c>
      <c r="H17" s="27" t="n">
        <f aca="false">IFERROR(G17/D17,"")</f>
        <v>592.592592592593</v>
      </c>
    </row>
    <row r="19" customFormat="false" ht="15" hidden="false" customHeight="false" outlineLevel="0" collapsed="false">
      <c r="A19" s="3" t="s">
        <v>110</v>
      </c>
    </row>
    <row r="20" customFormat="false" ht="15" hidden="false" customHeight="false" outlineLevel="0" collapsed="false">
      <c r="A20" s="32" t="s">
        <v>111</v>
      </c>
      <c r="B20" s="32"/>
      <c r="C20" s="32"/>
      <c r="D20" s="32"/>
      <c r="E20" s="32"/>
      <c r="F20" s="32"/>
      <c r="G20" s="32"/>
      <c r="H20" s="32"/>
    </row>
    <row r="21" customFormat="false" ht="15" hidden="false" customHeight="false" outlineLevel="0" collapsed="false">
      <c r="A21" s="32" t="s">
        <v>112</v>
      </c>
      <c r="B21" s="32"/>
      <c r="C21" s="32"/>
      <c r="D21" s="32"/>
      <c r="E21" s="32"/>
      <c r="F21" s="32"/>
      <c r="G21" s="32"/>
      <c r="H21" s="32"/>
    </row>
    <row r="22" customFormat="false" ht="15" hidden="false" customHeight="false" outlineLevel="0" collapsed="false">
      <c r="A22" s="32" t="s">
        <v>113</v>
      </c>
      <c r="B22" s="32"/>
      <c r="C22" s="32"/>
      <c r="D22" s="32"/>
      <c r="E22" s="32"/>
      <c r="F22" s="32"/>
      <c r="G22" s="32"/>
      <c r="H22" s="32"/>
    </row>
  </sheetData>
  <mergeCells count="3"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30" hidden="false" customHeight="true" outlineLevel="0" collapsed="false">
      <c r="A4" s="10" t="s">
        <v>36</v>
      </c>
      <c r="B4" s="10" t="s">
        <v>37</v>
      </c>
      <c r="C4" s="10" t="s">
        <v>39</v>
      </c>
    </row>
    <row r="5" customFormat="false" ht="15" hidden="false" customHeight="false" outlineLevel="0" collapsed="false">
      <c r="A5" s="4" t="s">
        <v>116</v>
      </c>
      <c r="B5" s="17" t="n">
        <f aca="false">TiposDeCaso!K12</f>
        <v>1872000</v>
      </c>
      <c r="C5" s="12" t="s">
        <v>117</v>
      </c>
    </row>
    <row r="6" customFormat="false" ht="15" hidden="false" customHeight="false" outlineLevel="0" collapsed="false">
      <c r="A6" s="4" t="s">
        <v>118</v>
      </c>
      <c r="B6" s="17" t="n">
        <f aca="false">TiposDeCaso!L12</f>
        <v>879390</v>
      </c>
      <c r="C6" s="12" t="s">
        <v>119</v>
      </c>
    </row>
    <row r="7" customFormat="false" ht="15" hidden="false" customHeight="false" outlineLevel="0" collapsed="false">
      <c r="A7" s="4" t="s">
        <v>120</v>
      </c>
      <c r="B7" s="33" t="n">
        <f aca="false">IFERROR(B6/B5,0)</f>
        <v>0.469759615384615</v>
      </c>
      <c r="C7" s="12" t="s">
        <v>121</v>
      </c>
    </row>
    <row r="8" customFormat="false" ht="15" hidden="false" customHeight="false" outlineLevel="0" collapsed="false">
      <c r="A8" s="4" t="s">
        <v>50</v>
      </c>
      <c r="B8" s="17" t="n">
        <f aca="false">Supuestos!B9</f>
        <v>600000</v>
      </c>
      <c r="C8" s="12" t="s">
        <v>122</v>
      </c>
    </row>
    <row r="9" customFormat="false" ht="15" hidden="false" customHeight="false" outlineLevel="0" collapsed="false">
      <c r="A9" s="25" t="s">
        <v>123</v>
      </c>
      <c r="B9" s="34" t="n">
        <f aca="false">B6-B8</f>
        <v>279390</v>
      </c>
      <c r="C9" s="12" t="s">
        <v>124</v>
      </c>
    </row>
    <row r="10" customFormat="false" ht="15" hidden="false" customHeight="false" outlineLevel="0" collapsed="false">
      <c r="A10" s="4" t="s">
        <v>125</v>
      </c>
      <c r="B10" s="33" t="n">
        <f aca="false">IFERROR(B9/B5,0)</f>
        <v>0.149246794871795</v>
      </c>
      <c r="C10" s="12" t="s">
        <v>126</v>
      </c>
    </row>
    <row r="12" customFormat="false" ht="15" hidden="false" customHeight="false" outlineLevel="0" collapsed="false">
      <c r="A12" s="4" t="s">
        <v>127</v>
      </c>
      <c r="B12" s="17" t="n">
        <f aca="false">TiposDeCaso!I12</f>
        <v>1684.65517241379</v>
      </c>
      <c r="C12" s="12" t="s">
        <v>128</v>
      </c>
    </row>
    <row r="13" customFormat="false" ht="15" hidden="false" customHeight="false" outlineLevel="0" collapsed="false">
      <c r="A13" s="25" t="s">
        <v>129</v>
      </c>
      <c r="B13" s="35" t="n">
        <f aca="false">IFERROR(B8/B12,0)</f>
        <v>356.155971753147</v>
      </c>
      <c r="C13" s="12" t="s">
        <v>130</v>
      </c>
    </row>
    <row r="14" customFormat="false" ht="15" hidden="false" customHeight="false" outlineLevel="0" collapsed="false">
      <c r="A14" s="4" t="s">
        <v>131</v>
      </c>
      <c r="B14" s="36" t="n">
        <f aca="false">IFERROR(B13/Supuestos!B11,0)</f>
        <v>29.6796643127623</v>
      </c>
      <c r="C14" s="12" t="s">
        <v>132</v>
      </c>
    </row>
    <row r="15" customFormat="false" ht="15" hidden="false" customHeight="false" outlineLevel="0" collapsed="false">
      <c r="A15" s="4" t="s">
        <v>133</v>
      </c>
      <c r="B15" s="36" t="n">
        <f aca="false">TiposDeCaso!F12</f>
        <v>43.5</v>
      </c>
      <c r="C15" s="12" t="s">
        <v>134</v>
      </c>
    </row>
    <row r="16" customFormat="false" ht="15" hidden="false" customHeight="false" outlineLevel="0" collapsed="false">
      <c r="A16" s="25" t="s">
        <v>135</v>
      </c>
      <c r="B16" s="37" t="n">
        <f aca="false">IFERROR(B15/B14-1,0)</f>
        <v>0.46565</v>
      </c>
      <c r="C16" s="1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0" hidden="false" customHeight="true" outlineLevel="0" collapsed="false">
      <c r="A4" s="10" t="s">
        <v>139</v>
      </c>
      <c r="B4" s="10" t="s">
        <v>140</v>
      </c>
      <c r="C4" s="10" t="s">
        <v>141</v>
      </c>
      <c r="D4" s="10" t="s">
        <v>142</v>
      </c>
      <c r="E4" s="10" t="s">
        <v>143</v>
      </c>
    </row>
    <row r="5" customFormat="false" ht="15" hidden="false" customHeight="false" outlineLevel="0" collapsed="false">
      <c r="A5" s="3" t="s">
        <v>144</v>
      </c>
    </row>
    <row r="6" customFormat="false" ht="15" hidden="false" customHeight="false" outlineLevel="0" collapsed="false">
      <c r="A6" s="4" t="s">
        <v>145</v>
      </c>
      <c r="B6" s="36" t="n">
        <f aca="false">TiposDeCaso!F12*Supuestos!B11</f>
        <v>522</v>
      </c>
    </row>
    <row r="7" customFormat="false" ht="15" hidden="false" customHeight="false" outlineLevel="0" collapsed="false">
      <c r="A7" s="4" t="s">
        <v>146</v>
      </c>
      <c r="B7" s="17" t="n">
        <f aca="false">TiposDeCaso!I12</f>
        <v>1684.65517241379</v>
      </c>
    </row>
    <row r="8" customFormat="false" ht="15" hidden="false" customHeight="false" outlineLevel="0" collapsed="false">
      <c r="A8" s="4" t="s">
        <v>147</v>
      </c>
      <c r="B8" s="33" t="n">
        <f aca="false">Embudo!$F$17</f>
        <v>0.349137931034483</v>
      </c>
    </row>
    <row r="9" customFormat="false" ht="15" hidden="false" customHeight="false" outlineLevel="0" collapsed="false">
      <c r="A9" s="4" t="s">
        <v>148</v>
      </c>
      <c r="B9" s="17" t="n">
        <f aca="false">Firma!B9</f>
        <v>279390</v>
      </c>
    </row>
    <row r="11" customFormat="false" ht="15" hidden="false" customHeight="false" outlineLevel="0" collapsed="false">
      <c r="A11" s="3" t="s">
        <v>149</v>
      </c>
    </row>
    <row r="12" customFormat="false" ht="30" hidden="false" customHeight="true" outlineLevel="0" collapsed="false">
      <c r="A12" s="10" t="s">
        <v>139</v>
      </c>
      <c r="B12" s="10" t="s">
        <v>140</v>
      </c>
      <c r="C12" s="10" t="s">
        <v>141</v>
      </c>
      <c r="D12" s="10" t="s">
        <v>142</v>
      </c>
      <c r="E12" s="10" t="s">
        <v>150</v>
      </c>
    </row>
    <row r="13" customFormat="false" ht="39.75" hidden="false" customHeight="true" outlineLevel="0" collapsed="false">
      <c r="A13" s="4" t="s">
        <v>151</v>
      </c>
      <c r="B13" s="38" t="n">
        <v>0.1</v>
      </c>
      <c r="C13" s="39" t="s">
        <v>152</v>
      </c>
      <c r="D13" s="18" t="n">
        <f aca="false">IFERROR($B$6*(B13/$B$8)*$B$7,0)</f>
        <v>251874.666666667</v>
      </c>
      <c r="E13" s="12" t="s">
        <v>153</v>
      </c>
    </row>
    <row r="14" customFormat="false" ht="39.75" hidden="false" customHeight="true" outlineLevel="0" collapsed="false">
      <c r="A14" s="4" t="s">
        <v>154</v>
      </c>
      <c r="B14" s="15" t="n">
        <v>-1</v>
      </c>
      <c r="C14" s="16" t="n">
        <f aca="false">-B14*Supuestos!$B$5</f>
        <v>95</v>
      </c>
      <c r="D14" s="18" t="n">
        <f aca="false">C14*$B$6</f>
        <v>49590</v>
      </c>
      <c r="E14" s="12" t="s">
        <v>155</v>
      </c>
    </row>
    <row r="15" customFormat="false" ht="39.75" hidden="false" customHeight="true" outlineLevel="0" collapsed="false">
      <c r="A15" s="4" t="s">
        <v>156</v>
      </c>
      <c r="B15" s="15" t="n">
        <v>-1</v>
      </c>
      <c r="C15" s="16" t="n">
        <f aca="false">-B15*Supuestos!$B$6</f>
        <v>34</v>
      </c>
      <c r="D15" s="18" t="n">
        <f aca="false">C15*$B$6</f>
        <v>17748</v>
      </c>
      <c r="E15" s="12" t="s">
        <v>157</v>
      </c>
    </row>
    <row r="16" customFormat="false" ht="39.75" hidden="false" customHeight="true" outlineLevel="0" collapsed="false">
      <c r="A16" s="4" t="s">
        <v>158</v>
      </c>
      <c r="B16" s="38" t="n">
        <v>0.08</v>
      </c>
      <c r="C16" s="16" t="n">
        <f aca="false">IFERROR(TiposDeCaso!K12/$B$6*B16,0)</f>
        <v>286.896551724138</v>
      </c>
      <c r="D16" s="18" t="n">
        <f aca="false">C16*$B$6</f>
        <v>149760</v>
      </c>
      <c r="E16" s="12" t="s">
        <v>159</v>
      </c>
    </row>
    <row r="17" customFormat="false" ht="39.75" hidden="false" customHeight="true" outlineLevel="0" collapsed="false">
      <c r="A17" s="4" t="s">
        <v>160</v>
      </c>
      <c r="B17" s="11" t="n">
        <v>-150</v>
      </c>
      <c r="C17" s="16" t="n">
        <f aca="false">-B17</f>
        <v>150</v>
      </c>
      <c r="D17" s="18" t="n">
        <f aca="false">C17*$B$6</f>
        <v>78300</v>
      </c>
      <c r="E17" s="12" t="s">
        <v>161</v>
      </c>
    </row>
    <row r="18" customFormat="false" ht="15" hidden="false" customHeight="false" outlineLevel="0" collapsed="false">
      <c r="A18" s="25" t="s">
        <v>162</v>
      </c>
      <c r="D18" s="40" t="n">
        <f aca="false">SUM(D13:D17)</f>
        <v>547272.666666667</v>
      </c>
    </row>
    <row r="19" customFormat="false" ht="15" hidden="false" customHeight="false" outlineLevel="0" collapsed="false">
      <c r="A19" s="25" t="s">
        <v>163</v>
      </c>
      <c r="D19" s="34" t="n">
        <f aca="false">$B$9+D18</f>
        <v>826662.666666667</v>
      </c>
    </row>
    <row r="21" customFormat="false" ht="24" hidden="false" customHeight="true" outlineLevel="0" collapsed="false">
      <c r="A21" s="29" t="s">
        <v>164</v>
      </c>
      <c r="B21" s="29"/>
      <c r="C21" s="29"/>
      <c r="D21" s="29"/>
      <c r="E21" s="29"/>
    </row>
    <row r="22" customFormat="false" ht="24" hidden="false" customHeight="true" outlineLevel="0" collapsed="false">
      <c r="A22" s="29" t="s">
        <v>165</v>
      </c>
      <c r="B22" s="29"/>
      <c r="C22" s="29"/>
      <c r="D22" s="29"/>
      <c r="E22" s="29"/>
    </row>
    <row r="23" customFormat="false" ht="24" hidden="false" customHeight="true" outlineLevel="0" collapsed="false">
      <c r="A23" s="29" t="s">
        <v>166</v>
      </c>
      <c r="B23" s="29"/>
      <c r="C23" s="29"/>
      <c r="D23" s="29"/>
      <c r="E23" s="29"/>
    </row>
  </sheetData>
  <mergeCells count="3"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0" hidden="false" customHeight="true" outlineLevel="0" collapsed="false">
      <c r="A4" s="10" t="s">
        <v>169</v>
      </c>
      <c r="B4" s="10" t="s">
        <v>170</v>
      </c>
      <c r="C4" s="10" t="s">
        <v>37</v>
      </c>
      <c r="D4" s="10" t="s">
        <v>171</v>
      </c>
      <c r="E4" s="10" t="s">
        <v>172</v>
      </c>
    </row>
    <row r="5" customFormat="false" ht="33.75" hidden="false" customHeight="true" outlineLevel="0" collapsed="false">
      <c r="A5" s="41" t="s">
        <v>173</v>
      </c>
      <c r="B5" s="4" t="s">
        <v>174</v>
      </c>
      <c r="C5" s="42" t="n">
        <f aca="false">TiposDeCaso!F12*Supuestos!B11</f>
        <v>522</v>
      </c>
      <c r="D5" s="7" t="s">
        <v>175</v>
      </c>
      <c r="E5" s="12" t="s">
        <v>176</v>
      </c>
    </row>
    <row r="6" customFormat="false" ht="33.75" hidden="false" customHeight="true" outlineLevel="0" collapsed="false">
      <c r="A6" s="41" t="s">
        <v>177</v>
      </c>
      <c r="B6" s="4" t="s">
        <v>178</v>
      </c>
      <c r="C6" s="43" t="n">
        <f aca="false">Embudo!$F$17</f>
        <v>0.349137931034483</v>
      </c>
      <c r="D6" s="7" t="s">
        <v>179</v>
      </c>
      <c r="E6" s="12" t="s">
        <v>180</v>
      </c>
    </row>
    <row r="7" customFormat="false" ht="33.75" hidden="false" customHeight="true" outlineLevel="0" collapsed="false">
      <c r="A7" s="41" t="s">
        <v>181</v>
      </c>
      <c r="B7" s="4" t="s">
        <v>123</v>
      </c>
      <c r="C7" s="44" t="n">
        <f aca="false">Firma!B9</f>
        <v>279390</v>
      </c>
      <c r="D7" s="7" t="s">
        <v>182</v>
      </c>
      <c r="E7" s="12" t="s">
        <v>183</v>
      </c>
    </row>
    <row r="8" customFormat="false" ht="33.75" hidden="false" customHeight="true" outlineLevel="0" collapsed="false">
      <c r="A8" s="41" t="s">
        <v>184</v>
      </c>
      <c r="B8" s="4" t="s">
        <v>120</v>
      </c>
      <c r="C8" s="43" t="n">
        <f aca="false">Firma!B7</f>
        <v>0.469759615384615</v>
      </c>
      <c r="D8" s="7" t="s">
        <v>185</v>
      </c>
      <c r="E8" s="12" t="s">
        <v>186</v>
      </c>
    </row>
    <row r="9" customFormat="false" ht="33.75" hidden="false" customHeight="true" outlineLevel="0" collapsed="false">
      <c r="A9" s="41" t="s">
        <v>187</v>
      </c>
      <c r="B9" s="4" t="s">
        <v>188</v>
      </c>
      <c r="C9" s="43" t="n">
        <f aca="false">Firma!B16</f>
        <v>0.46565</v>
      </c>
      <c r="D9" s="7" t="s">
        <v>189</v>
      </c>
      <c r="E9" s="12" t="s">
        <v>190</v>
      </c>
    </row>
    <row r="11" customFormat="false" ht="15" hidden="false" customHeight="false" outlineLevel="0" collapsed="false">
      <c r="B11" s="3" t="s">
        <v>191</v>
      </c>
    </row>
    <row r="12" customFormat="false" ht="24" hidden="false" customHeight="true" outlineLevel="0" collapsed="false">
      <c r="B12" s="29" t="s">
        <v>192</v>
      </c>
      <c r="C12" s="29"/>
      <c r="D12" s="29"/>
      <c r="E12" s="29"/>
    </row>
    <row r="13" customFormat="false" ht="24" hidden="false" customHeight="true" outlineLevel="0" collapsed="false">
      <c r="B13" s="29" t="s">
        <v>193</v>
      </c>
      <c r="C13" s="29"/>
      <c r="D13" s="29"/>
      <c r="E13" s="29"/>
    </row>
  </sheetData>
  <mergeCells count="2">
    <mergeCell ref="B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2026-07-29T15:41:07Z</dcterms:created>
  <dc:creator>openpyxl</dc:creator>
  <dc:description/>
  <dc:language>en-US</dc:language>
  <cp:lastModifiedBy/>
  <dcterms:modified xsi:type="dcterms:W3CDTF">2026-07-29T15:41:07Z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